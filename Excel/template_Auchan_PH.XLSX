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\PROJECTS\PRINT_FORMS\Excel\"/>
    </mc:Choice>
  </mc:AlternateContent>
  <bookViews>
    <workbookView xWindow="0" yWindow="0" windowWidth="19200" windowHeight="6940" xr2:uid="{5B59BDDD-DEA3-4125-AAAC-4C6CC42101D2}"/>
  </bookViews>
  <sheets>
    <sheet name="2515868209" sheetId="1" r:id="rId1"/>
  </sheets>
  <definedNames>
    <definedName name="Buyer" localSheetId="0">'2515868209'!#REF!</definedName>
    <definedName name="Consignee" localSheetId="0">'2515868209'!#REF!</definedName>
    <definedName name="Contract" localSheetId="0">'2515868209'!#REF!</definedName>
    <definedName name="_xlnm.Print_Area" localSheetId="0">'2515868209'!$A$1:$CZ$41</definedName>
    <definedName name="Supplier" localSheetId="0">'2515868209'!#REF!</definedName>
    <definedName name="T12Date" localSheetId="0">'2515868209'!#REF!</definedName>
    <definedName name="T12Number" localSheetId="0">'2515868209'!#REF!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R25" i="1" l="1"/>
  <c r="CI25" i="1" l="1"/>
  <c r="BU25" i="1"/>
  <c r="BG25" i="1"/>
  <c r="CQ22" i="1"/>
  <c r="CQ21" i="1"/>
  <c r="CQ25" i="1" s="1"/>
  <c r="BM22" i="1"/>
  <c r="BM21" i="1"/>
  <c r="CQ18" i="1" l="1"/>
  <c r="CI18" i="1"/>
  <c r="BU18" i="1"/>
</calcChain>
</file>

<file path=xl/sharedStrings.xml><?xml version="1.0" encoding="utf-8"?>
<sst xmlns="http://schemas.openxmlformats.org/spreadsheetml/2006/main" count="91" uniqueCount="69">
  <si>
    <t>Одержувач вантажу:</t>
  </si>
  <si>
    <t>Є платником податку на прибуток на загальних підставах</t>
  </si>
  <si>
    <t>Постачальник:</t>
  </si>
  <si>
    <t>ЄДРПОУ 34474821,  Р/Р26007200372034  МФО300584 ПАТ"Сітібанк(Україна)"</t>
  </si>
  <si>
    <t>№ постачальника</t>
  </si>
  <si>
    <t>№ сегмента</t>
  </si>
  <si>
    <t>Пiдстава: Договiр №</t>
  </si>
  <si>
    <t>№ замовлення</t>
  </si>
  <si>
    <t xml:space="preserve">Видаткова накладна № </t>
  </si>
  <si>
    <t xml:space="preserve">вiд </t>
  </si>
  <si>
    <t>р.</t>
  </si>
  <si>
    <t>Номер п/п</t>
  </si>
  <si>
    <t>Товар</t>
  </si>
  <si>
    <t>Оди-ниця виміру</t>
  </si>
  <si>
    <t>Кількість</t>
  </si>
  <si>
    <t>Ціна,</t>
  </si>
  <si>
    <t>Сума без урахування ПДВ,</t>
  </si>
  <si>
    <t>ПДВ</t>
  </si>
  <si>
    <t>Сума з урахуванням ПДВ,</t>
  </si>
  <si>
    <t>Артикул 
Ашан</t>
  </si>
  <si>
    <t>Найменування, характеристики, сорт артикулу</t>
  </si>
  <si>
    <t>Код 
артикулу</t>
  </si>
  <si>
    <t>Штрих-код, шт</t>
  </si>
  <si>
    <t>Місць</t>
  </si>
  <si>
    <t>В одн. місці</t>
  </si>
  <si>
    <t>ставка, %</t>
  </si>
  <si>
    <t>сума,</t>
  </si>
  <si>
    <t>грн.коп</t>
  </si>
  <si>
    <t xml:space="preserve">     Всього</t>
  </si>
  <si>
    <t>X</t>
  </si>
  <si>
    <t>Х</t>
  </si>
  <si>
    <t>ПДВ:</t>
  </si>
  <si>
    <t>За дорученням №</t>
  </si>
  <si>
    <t>від  «</t>
  </si>
  <si>
    <t>»</t>
  </si>
  <si>
    <t>р,</t>
  </si>
  <si>
    <t>Виданої</t>
  </si>
  <si>
    <t>Вiдпуск дозволив:</t>
  </si>
  <si>
    <t>Вантаж прийняв</t>
  </si>
  <si>
    <t>Відвантажив:</t>
  </si>
  <si>
    <t>одержувач вантажу</t>
  </si>
  <si>
    <t>М.П.</t>
  </si>
  <si>
    <t>Сковорода 28</t>
  </si>
  <si>
    <t>C6830622</t>
  </si>
  <si>
    <t>3168430219779</t>
  </si>
  <si>
    <t>кор.</t>
  </si>
  <si>
    <t>шт.</t>
  </si>
  <si>
    <t>Сковорода 24</t>
  </si>
  <si>
    <t>C6830422</t>
  </si>
  <si>
    <t>3168430219762</t>
  </si>
  <si>
    <t>Сковорода 26</t>
  </si>
  <si>
    <t>H1184084</t>
  </si>
  <si>
    <t>3168430251625</t>
  </si>
  <si>
    <t>Товариство з обмеженою відповідальністю Груп СЕБ Україна 02121, Київ, ул. Харьківське  шоссе 201\203. тел 044-300-11-03</t>
  </si>
  <si>
    <r>
      <rPr>
        <b/>
        <sz val="10"/>
        <color theme="1"/>
        <rFont val="Times New Roman"/>
        <family val="1"/>
        <charset val="204"/>
      </rPr>
      <t xml:space="preserve">ТОВ "АШАН УКРАЇНА ГІПЕРМАРКЕТ" </t>
    </r>
    <r>
      <rPr>
        <sz val="10"/>
        <color theme="1"/>
        <rFont val="Times New Roman"/>
        <family val="1"/>
        <charset val="204"/>
      </rPr>
      <t>Адреса: 04073 м. Київ пр-т Степана Бандери  буд.15-а, тел 044-391-44-46</t>
    </r>
  </si>
  <si>
    <t>ЄДРПОУ 35442481 , Р/Р 26009500187400  МФО 300614  у  Філії «КІБ» ПАТ «КРЕДІ АГРІКОЛЬ БАНК» ІПН 354424826566 номер свідоцтва 100331147</t>
  </si>
  <si>
    <t>ТОВ Груп СЕБ Україна   Адреса:  02121, Київ, ул. Харьківське  шоссе 201\203. тел 044-300-11-03</t>
  </si>
  <si>
    <t>ІПН 344748226510  номер свідоцтва 200150883</t>
  </si>
  <si>
    <t>Всього на суму із ПДВ:</t>
  </si>
  <si>
    <t>СКОВОРОДА ДЛЯ БЛ 25CM EVIDENCE</t>
  </si>
  <si>
    <t xml:space="preserve">C3551002 </t>
  </si>
  <si>
    <t xml:space="preserve"> FP24 G-CH PE TECH RES TCPG TP5</t>
  </si>
  <si>
    <t>C3550402</t>
  </si>
  <si>
    <t>2</t>
  </si>
  <si>
    <t>3</t>
  </si>
  <si>
    <t>4</t>
  </si>
  <si>
    <t>5</t>
  </si>
  <si>
    <t>Сто тридцять п'ять тисяч сімдесят шість гривень 08 копiйок</t>
  </si>
  <si>
    <t>22,512.68 грн.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</si>
</sst>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_ ;\-#,##0.000\ "/>
    <numFmt numFmtId="165" formatCode="#,##0_ ;\-#,##0\ "/>
    <numFmt numFmtId="166" formatCode="_-* #,##0.00_р_._-;\-* #,##0.00_р_._-;_-* &quot;-&quot;??_р_._-;_-@_-"/>
  </numFmts>
  <fonts count="15" x14ac:knownFonts="1">
    <font>
      <sz val="10"/>
      <name val="Arial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sz val="11"/>
      <name val="Arial"/>
      <family val="2"/>
      <charset val="204"/>
    </font>
    <font>
      <b/>
      <sz val="12"/>
      <name val="Times New Roman"/>
      <family val="1"/>
      <charset val="204"/>
    </font>
    <font>
      <b/>
      <sz val="12"/>
      <name val="Arial"/>
      <family val="2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8.5"/>
      <name val="Times New Roman"/>
      <family val="1"/>
      <charset val="204"/>
    </font>
    <font>
      <sz val="7"/>
      <name val="Times New Roman"/>
      <family val="1"/>
      <charset val="204"/>
    </font>
    <font>
      <sz val="6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Border="1"/>
    <xf numFmtId="0" fontId="2" fillId="0" borderId="0" xfId="1" applyFont="1"/>
    <xf numFmtId="49" fontId="5" fillId="0" borderId="0" xfId="1" applyNumberFormat="1" applyFont="1" applyBorder="1" applyAlignment="1">
      <alignment vertical="center"/>
    </xf>
    <xf numFmtId="0" fontId="6" fillId="0" borderId="0" xfId="1" applyFont="1" applyBorder="1"/>
    <xf numFmtId="0" fontId="6" fillId="0" borderId="0" xfId="1" applyFont="1"/>
    <xf numFmtId="49" fontId="7" fillId="0" borderId="0" xfId="1" applyNumberFormat="1" applyFont="1" applyBorder="1" applyAlignment="1">
      <alignment vertical="center"/>
    </xf>
    <xf numFmtId="0" fontId="8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vertical="center"/>
    </xf>
    <xf numFmtId="0" fontId="8" fillId="0" borderId="0" xfId="1" applyFont="1" applyAlignment="1">
      <alignment horizontal="right"/>
    </xf>
    <xf numFmtId="0" fontId="8" fillId="0" borderId="0" xfId="1" applyFont="1" applyBorder="1" applyAlignment="1">
      <alignment horizontal="center"/>
    </xf>
    <xf numFmtId="0" fontId="10" fillId="0" borderId="0" xfId="1" applyFont="1" applyBorder="1"/>
    <xf numFmtId="0" fontId="10" fillId="0" borderId="0" xfId="1" applyFont="1" applyBorder="1" applyAlignment="1"/>
    <xf numFmtId="0" fontId="11" fillId="0" borderId="0" xfId="1" applyFont="1" applyBorder="1" applyAlignment="1"/>
    <xf numFmtId="0" fontId="8" fillId="0" borderId="9" xfId="1" applyFont="1" applyBorder="1"/>
    <xf numFmtId="49" fontId="9" fillId="0" borderId="0" xfId="1" applyNumberFormat="1" applyFont="1"/>
    <xf numFmtId="0" fontId="8" fillId="0" borderId="1" xfId="1" applyFont="1" applyBorder="1"/>
    <xf numFmtId="49" fontId="10" fillId="0" borderId="0" xfId="1" applyNumberFormat="1" applyFont="1"/>
    <xf numFmtId="49" fontId="10" fillId="0" borderId="0" xfId="1" applyNumberFormat="1" applyFont="1" applyAlignment="1">
      <alignment horizontal="right"/>
    </xf>
    <xf numFmtId="49" fontId="10" fillId="0" borderId="1" xfId="1" applyNumberFormat="1" applyFont="1" applyBorder="1" applyAlignment="1">
      <alignment horizontal="center"/>
    </xf>
    <xf numFmtId="49" fontId="10" fillId="0" borderId="0" xfId="1" applyNumberFormat="1" applyFont="1" applyAlignment="1">
      <alignment horizontal="left"/>
    </xf>
    <xf numFmtId="0" fontId="12" fillId="0" borderId="0" xfId="1" applyFont="1" applyBorder="1" applyAlignment="1"/>
    <xf numFmtId="0" fontId="10" fillId="0" borderId="9" xfId="1" applyFont="1" applyBorder="1"/>
    <xf numFmtId="49" fontId="10" fillId="0" borderId="0" xfId="1" applyNumberFormat="1" applyFont="1" applyBorder="1" applyAlignment="1">
      <alignment horizontal="center"/>
    </xf>
    <xf numFmtId="49" fontId="10" fillId="0" borderId="0" xfId="1" applyNumberFormat="1" applyFont="1" applyAlignment="1">
      <alignment horizontal="center"/>
    </xf>
    <xf numFmtId="0" fontId="10" fillId="0" borderId="0" xfId="1" applyFont="1"/>
    <xf numFmtId="0" fontId="10" fillId="0" borderId="9" xfId="1" applyFont="1" applyBorder="1" applyAlignment="1"/>
    <xf numFmtId="49" fontId="10" fillId="0" borderId="1" xfId="1" applyNumberFormat="1" applyFont="1" applyBorder="1"/>
    <xf numFmtId="49" fontId="10" fillId="0" borderId="0" xfId="1" applyNumberFormat="1" applyFont="1" applyBorder="1"/>
    <xf numFmtId="0" fontId="12" fillId="0" borderId="9" xfId="1" applyFont="1" applyBorder="1" applyAlignment="1"/>
    <xf numFmtId="49" fontId="12" fillId="0" borderId="0" xfId="1" applyNumberFormat="1" applyFont="1" applyBorder="1" applyAlignment="1"/>
    <xf numFmtId="49" fontId="10" fillId="0" borderId="0" xfId="1" applyNumberFormat="1" applyFont="1" applyBorder="1" applyAlignment="1"/>
    <xf numFmtId="0" fontId="10" fillId="0" borderId="1" xfId="1" applyFont="1" applyBorder="1" applyAlignment="1"/>
    <xf numFmtId="49" fontId="10" fillId="0" borderId="1" xfId="1" applyNumberFormat="1" applyFont="1" applyBorder="1" applyAlignment="1"/>
    <xf numFmtId="0" fontId="2" fillId="0" borderId="1" xfId="1" applyFont="1" applyBorder="1" applyAlignment="1"/>
    <xf numFmtId="49" fontId="10" fillId="0" borderId="9" xfId="1" applyNumberFormat="1" applyFont="1" applyBorder="1" applyAlignment="1">
      <alignment horizontal="center"/>
    </xf>
    <xf numFmtId="0" fontId="2" fillId="0" borderId="0" xfId="1" applyFont="1" applyBorder="1" applyAlignment="1"/>
    <xf numFmtId="49" fontId="12" fillId="0" borderId="0" xfId="1" applyNumberFormat="1" applyFont="1" applyBorder="1" applyAlignment="1">
      <alignment horizontal="center"/>
    </xf>
    <xf numFmtId="49" fontId="12" fillId="0" borderId="9" xfId="1" applyNumberFormat="1" applyFont="1" applyBorder="1" applyAlignment="1"/>
    <xf numFmtId="49" fontId="10" fillId="0" borderId="9" xfId="1" applyNumberFormat="1" applyFont="1" applyBorder="1" applyAlignment="1"/>
    <xf numFmtId="49" fontId="12" fillId="0" borderId="0" xfId="1" applyNumberFormat="1" applyFont="1" applyBorder="1" applyAlignment="1">
      <alignment vertical="top"/>
    </xf>
    <xf numFmtId="49" fontId="2" fillId="0" borderId="0" xfId="1" applyNumberFormat="1" applyFont="1"/>
    <xf numFmtId="0" fontId="2" fillId="0" borderId="9" xfId="1" applyFont="1" applyBorder="1"/>
    <xf numFmtId="49" fontId="10" fillId="0" borderId="0" xfId="1" applyNumberFormat="1" applyFont="1" applyBorder="1" applyAlignment="1">
      <alignment horizontal="left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left" vertical="center"/>
    </xf>
    <xf numFmtId="166" fontId="9" fillId="0" borderId="5" xfId="1" applyNumberFormat="1" applyFont="1" applyBorder="1" applyAlignment="1">
      <alignment horizontal="right" vertical="center"/>
    </xf>
    <xf numFmtId="166" fontId="9" fillId="0" borderId="6" xfId="1" applyNumberFormat="1" applyFont="1" applyBorder="1" applyAlignment="1">
      <alignment horizontal="right" vertical="center"/>
    </xf>
    <xf numFmtId="166" fontId="9" fillId="0" borderId="7" xfId="1" applyNumberFormat="1" applyFont="1" applyBorder="1" applyAlignment="1">
      <alignment horizontal="right" vertical="center"/>
    </xf>
    <xf numFmtId="164" fontId="9" fillId="0" borderId="5" xfId="1" applyNumberFormat="1" applyFont="1" applyBorder="1" applyAlignment="1">
      <alignment horizontal="center" vertical="center"/>
    </xf>
    <xf numFmtId="164" fontId="9" fillId="0" borderId="6" xfId="1" applyNumberFormat="1" applyFont="1" applyBorder="1" applyAlignment="1">
      <alignment horizontal="center" vertical="center"/>
    </xf>
    <xf numFmtId="164" fontId="9" fillId="0" borderId="7" xfId="1" applyNumberFormat="1" applyFont="1" applyBorder="1" applyAlignment="1">
      <alignment horizontal="center" vertical="center"/>
    </xf>
    <xf numFmtId="165" fontId="9" fillId="0" borderId="5" xfId="1" applyNumberFormat="1" applyFont="1" applyBorder="1" applyAlignment="1">
      <alignment horizontal="center" vertical="center"/>
    </xf>
    <xf numFmtId="165" fontId="9" fillId="0" borderId="6" xfId="1" applyNumberFormat="1" applyFont="1" applyBorder="1" applyAlignment="1">
      <alignment horizontal="center" vertical="center"/>
    </xf>
    <xf numFmtId="165" fontId="9" fillId="0" borderId="7" xfId="1" applyNumberFormat="1" applyFont="1" applyBorder="1" applyAlignment="1">
      <alignment horizontal="center" vertical="center"/>
    </xf>
    <xf numFmtId="9" fontId="9" fillId="0" borderId="7" xfId="1" applyNumberFormat="1" applyFont="1" applyBorder="1" applyAlignment="1">
      <alignment horizontal="center" vertical="center"/>
    </xf>
    <xf numFmtId="9" fontId="9" fillId="0" borderId="8" xfId="1" applyNumberFormat="1" applyFont="1" applyBorder="1" applyAlignment="1">
      <alignment horizontal="center" vertical="center"/>
    </xf>
    <xf numFmtId="9" fontId="9" fillId="0" borderId="5" xfId="1" applyNumberFormat="1" applyFont="1" applyBorder="1" applyAlignment="1">
      <alignment horizontal="center" vertical="center"/>
    </xf>
    <xf numFmtId="166" fontId="9" fillId="0" borderId="8" xfId="1" applyNumberFormat="1" applyFont="1" applyBorder="1" applyAlignment="1">
      <alignment horizontal="right" vertical="center"/>
    </xf>
    <xf numFmtId="0" fontId="9" fillId="0" borderId="8" xfId="1" applyFont="1" applyBorder="1" applyAlignment="1">
      <alignment horizontal="center" vertical="center"/>
    </xf>
    <xf numFmtId="49" fontId="9" fillId="0" borderId="8" xfId="1" applyNumberFormat="1" applyFont="1" applyBorder="1" applyAlignment="1">
      <alignment horizontal="center" vertical="center"/>
    </xf>
    <xf numFmtId="49" fontId="9" fillId="0" borderId="5" xfId="1" applyNumberFormat="1" applyFont="1" applyBorder="1" applyAlignment="1">
      <alignment horizontal="left" vertical="center"/>
    </xf>
    <xf numFmtId="49" fontId="9" fillId="0" borderId="6" xfId="1" applyNumberFormat="1" applyFont="1" applyBorder="1" applyAlignment="1">
      <alignment horizontal="left" vertical="center"/>
    </xf>
    <xf numFmtId="49" fontId="9" fillId="0" borderId="7" xfId="1" applyNumberFormat="1" applyFont="1" applyBorder="1" applyAlignment="1">
      <alignment horizontal="left" vertical="center"/>
    </xf>
    <xf numFmtId="49" fontId="9" fillId="0" borderId="5" xfId="1" applyNumberFormat="1" applyFont="1" applyBorder="1" applyAlignment="1">
      <alignment horizontal="left" vertical="center" wrapText="1"/>
    </xf>
    <xf numFmtId="49" fontId="9" fillId="0" borderId="6" xfId="1" applyNumberFormat="1" applyFont="1" applyBorder="1" applyAlignment="1">
      <alignment horizontal="left" vertical="center" wrapText="1"/>
    </xf>
    <xf numFmtId="49" fontId="9" fillId="0" borderId="7" xfId="1" applyNumberFormat="1" applyFont="1" applyBorder="1" applyAlignment="1">
      <alignment horizontal="left" vertical="center" wrapText="1"/>
    </xf>
    <xf numFmtId="1" fontId="9" fillId="0" borderId="5" xfId="1" applyNumberFormat="1" applyFont="1" applyBorder="1" applyAlignment="1">
      <alignment horizontal="center" vertical="center"/>
    </xf>
    <xf numFmtId="1" fontId="9" fillId="0" borderId="6" xfId="1" applyNumberFormat="1" applyFont="1" applyBorder="1" applyAlignment="1">
      <alignment horizontal="center" vertical="center"/>
    </xf>
    <xf numFmtId="0" fontId="2" fillId="0" borderId="0" xfId="1" applyFont="1" applyAlignment="1">
      <alignment horizontal="right"/>
    </xf>
    <xf numFmtId="0" fontId="8" fillId="0" borderId="6" xfId="1" applyFont="1" applyBorder="1" applyAlignment="1">
      <alignment horizontal="left"/>
    </xf>
    <xf numFmtId="49" fontId="10" fillId="0" borderId="0" xfId="1" applyNumberFormat="1" applyFont="1" applyBorder="1" applyAlignment="1">
      <alignment horizontal="left"/>
    </xf>
    <xf numFmtId="49" fontId="9" fillId="0" borderId="5" xfId="1" applyNumberFormat="1" applyFont="1" applyBorder="1" applyAlignment="1">
      <alignment horizontal="center" vertical="center"/>
    </xf>
    <xf numFmtId="49" fontId="9" fillId="0" borderId="6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left"/>
    </xf>
    <xf numFmtId="0" fontId="9" fillId="0" borderId="8" xfId="1" applyFont="1" applyBorder="1" applyAlignment="1">
      <alignment horizontal="left" vertical="center"/>
    </xf>
    <xf numFmtId="0" fontId="9" fillId="0" borderId="5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13" fillId="0" borderId="0" xfId="1" applyFont="1" applyAlignment="1">
      <alignment horizontal="left" vertical="center"/>
    </xf>
    <xf numFmtId="0" fontId="14" fillId="0" borderId="0" xfId="1" applyFont="1" applyAlignment="1">
      <alignment horizontal="right" vertical="center"/>
    </xf>
    <xf numFmtId="0" fontId="13" fillId="2" borderId="0" xfId="1" applyFont="1" applyFill="1" applyAlignment="1">
      <alignment horizontal="left" vertical="center"/>
    </xf>
    <xf numFmtId="0" fontId="13" fillId="0" borderId="0" xfId="1" applyFont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2" fillId="0" borderId="1" xfId="1" applyFont="1" applyBorder="1" applyAlignment="1">
      <alignment horizontal="center" vertical="center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6" fillId="0" borderId="1" xfId="1" applyFont="1" applyBorder="1" applyAlignment="1">
      <alignment horizontal="center"/>
    </xf>
    <xf numFmtId="0" fontId="6" fillId="0" borderId="0" xfId="1" applyFont="1" applyAlignment="1">
      <alignment horizontal="center"/>
    </xf>
    <xf numFmtId="14" fontId="6" fillId="0" borderId="1" xfId="1" applyNumberFormat="1" applyFont="1" applyBorder="1" applyAlignment="1">
      <alignment horizontal="center"/>
    </xf>
    <xf numFmtId="0" fontId="9" fillId="0" borderId="8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/>
    </xf>
    <xf numFmtId="0" fontId="2" fillId="0" borderId="0" xfId="1" applyFont="1" applyAlignment="1">
      <alignment horizontal="left" vertical="center"/>
    </xf>
  </cellXfs>
  <cellStyles count="2">
    <cellStyle name="Normal" xfId="0" builtinId="0"/>
    <cellStyle name="Normal 2" xfId="1" xr:uid="{8E2CD925-590B-47A4-BB62-A285728F2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973FE-D1C4-4351-B6F7-3AFB522A0F6D}">
  <sheetPr codeName="Sheet6"/>
  <dimension ref="A1:DC41"/>
  <sheetViews>
    <sheetView tabSelected="1" view="pageBreakPreview" topLeftCell="A7" zoomScaleNormal="100" workbookViewId="0">
      <selection activeCell="R5" sqref="R5:CW5"/>
    </sheetView>
  </sheetViews>
  <sheetFormatPr defaultColWidth="9.1796875" defaultRowHeight="13" x14ac:dyDescent="0.3"/>
  <cols>
    <col min="1" max="3" width="1.81640625" style="3" customWidth="1"/>
    <col min="4" max="9" width="1.26953125" style="3" customWidth="1"/>
    <col min="10" max="24" width="1.453125" style="3" customWidth="1"/>
    <col min="25" max="30" width="1.26953125" style="3" customWidth="1"/>
    <col min="31" max="38" width="1.7265625" style="3" customWidth="1"/>
    <col min="39" max="43" width="1.1796875" style="3" customWidth="1"/>
    <col min="44" max="53" width="1.26953125" style="3" customWidth="1"/>
    <col min="54" max="58" width="1.1796875" style="3" customWidth="1"/>
    <col min="59" max="72" width="1.26953125" style="3" customWidth="1"/>
    <col min="73" max="86" width="1.453125" style="3" customWidth="1"/>
    <col min="87" max="94" width="1.7265625" style="3" customWidth="1"/>
    <col min="95" max="104" width="1.453125" style="3" customWidth="1"/>
    <col min="105" max="16384" width="9.1796875" style="3"/>
  </cols>
  <sheetData>
    <row r="1" spans="1:104" s="1" customFormat="1" ht="15" customHeight="1" x14ac:dyDescent="0.25">
      <c r="A1" s="81" t="s">
        <v>53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81"/>
      <c r="CC1" s="81"/>
      <c r="CD1" s="81"/>
      <c r="CE1" s="81"/>
      <c r="CF1" s="81"/>
      <c r="CG1" s="81"/>
      <c r="CH1" s="81"/>
      <c r="CI1" s="81"/>
      <c r="CJ1" s="81"/>
      <c r="CK1" s="81"/>
      <c r="CL1" s="81"/>
      <c r="CM1" s="81"/>
      <c r="CN1" s="81"/>
      <c r="CO1" s="81"/>
      <c r="CP1" s="81"/>
      <c r="CQ1" s="81"/>
      <c r="CR1" s="81"/>
      <c r="CS1" s="81"/>
      <c r="CT1" s="81"/>
      <c r="CU1" s="81"/>
      <c r="CV1" s="81"/>
      <c r="CW1" s="81"/>
      <c r="CX1" s="81"/>
      <c r="CY1" s="81"/>
      <c r="CZ1" s="81"/>
    </row>
    <row r="2" spans="1:104" s="1" customFormat="1" ht="6" customHeigh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</row>
    <row r="3" spans="1:104" s="1" customFormat="1" ht="15" customHeight="1" x14ac:dyDescent="0.25">
      <c r="A3" s="82" t="s">
        <v>0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3" t="s">
        <v>54</v>
      </c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3"/>
      <c r="CI3" s="83"/>
      <c r="CJ3" s="83"/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46"/>
      <c r="CY3" s="46"/>
      <c r="CZ3" s="46"/>
    </row>
    <row r="4" spans="1:104" s="1" customFormat="1" ht="15" customHeigh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84" t="s">
        <v>55</v>
      </c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84"/>
      <c r="CC4" s="84"/>
      <c r="CD4" s="84"/>
      <c r="CE4" s="84"/>
      <c r="CF4" s="84"/>
      <c r="CG4" s="84"/>
      <c r="CH4" s="84"/>
      <c r="CI4" s="84"/>
      <c r="CJ4" s="84"/>
      <c r="CK4" s="84"/>
      <c r="CL4" s="84"/>
      <c r="CM4" s="84"/>
      <c r="CN4" s="84"/>
      <c r="CO4" s="84"/>
      <c r="CP4" s="84"/>
      <c r="CQ4" s="84"/>
      <c r="CR4" s="84"/>
      <c r="CS4" s="84"/>
      <c r="CT4" s="84"/>
      <c r="CU4" s="84"/>
      <c r="CV4" s="84"/>
      <c r="CW4" s="84"/>
      <c r="CX4" s="46"/>
      <c r="CY4" s="46"/>
      <c r="CZ4" s="46"/>
    </row>
    <row r="5" spans="1:104" s="1" customFormat="1" ht="15" customHeight="1" x14ac:dyDescent="0.2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81" t="s">
        <v>1</v>
      </c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  <c r="BM5" s="81"/>
      <c r="BN5" s="81"/>
      <c r="BO5" s="81"/>
      <c r="BP5" s="81"/>
      <c r="BQ5" s="81"/>
      <c r="BR5" s="81"/>
      <c r="BS5" s="81"/>
      <c r="BT5" s="81"/>
      <c r="BU5" s="81"/>
      <c r="BV5" s="81"/>
      <c r="BW5" s="81"/>
      <c r="BX5" s="81"/>
      <c r="BY5" s="81"/>
      <c r="BZ5" s="81"/>
      <c r="CA5" s="81"/>
      <c r="CB5" s="81"/>
      <c r="CC5" s="81"/>
      <c r="CD5" s="81"/>
      <c r="CE5" s="81"/>
      <c r="CF5" s="81"/>
      <c r="CG5" s="81"/>
      <c r="CH5" s="81"/>
      <c r="CI5" s="81"/>
      <c r="CJ5" s="81"/>
      <c r="CK5" s="81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46"/>
      <c r="CY5" s="46"/>
      <c r="CZ5" s="46"/>
    </row>
    <row r="6" spans="1:104" s="1" customFormat="1" ht="6" customHeight="1" x14ac:dyDescent="0.25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</row>
    <row r="7" spans="1:104" s="1" customFormat="1" ht="15" customHeight="1" x14ac:dyDescent="0.25">
      <c r="A7" s="82" t="s">
        <v>2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47" t="s">
        <v>56</v>
      </c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6"/>
      <c r="CY7" s="46"/>
      <c r="CZ7" s="46"/>
    </row>
    <row r="8" spans="1:104" s="1" customFormat="1" ht="15" customHeight="1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7" t="s">
        <v>3</v>
      </c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6"/>
      <c r="CY8" s="46"/>
      <c r="CZ8" s="46"/>
    </row>
    <row r="9" spans="1:104" s="1" customFormat="1" ht="15" customHeight="1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7" t="s">
        <v>57</v>
      </c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6"/>
      <c r="CY9" s="46"/>
      <c r="CZ9" s="46"/>
    </row>
    <row r="10" spans="1:104" s="1" customFormat="1" ht="15" customHeight="1" x14ac:dyDescent="0.25">
      <c r="R10" s="107" t="s">
        <v>1</v>
      </c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C10" s="96" t="s">
        <v>4</v>
      </c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5">
        <v>4741</v>
      </c>
      <c r="BQ10" s="95"/>
      <c r="BR10" s="95"/>
      <c r="BS10" s="95"/>
      <c r="BT10" s="95"/>
      <c r="BU10" s="95"/>
      <c r="BV10" s="95"/>
      <c r="BW10" s="95"/>
      <c r="BX10" s="95"/>
      <c r="BY10" s="95"/>
      <c r="BZ10" s="95"/>
      <c r="CA10" s="95"/>
      <c r="CB10" s="95"/>
      <c r="CC10" s="95"/>
      <c r="CD10" s="96" t="s">
        <v>5</v>
      </c>
      <c r="CE10" s="96"/>
      <c r="CF10" s="96"/>
      <c r="CG10" s="96"/>
      <c r="CH10" s="96"/>
      <c r="CI10" s="96"/>
      <c r="CJ10" s="96"/>
      <c r="CK10" s="96"/>
      <c r="CL10" s="96"/>
      <c r="CM10" s="95">
        <v>395</v>
      </c>
      <c r="CN10" s="95"/>
      <c r="CO10" s="95"/>
      <c r="CP10" s="95"/>
      <c r="CQ10" s="95"/>
      <c r="CR10" s="95"/>
      <c r="CS10" s="95"/>
      <c r="CT10" s="95"/>
      <c r="CU10" s="95"/>
      <c r="CV10" s="95"/>
      <c r="CW10" s="95"/>
    </row>
    <row r="11" spans="1:104" s="1" customFormat="1" ht="6" customHeight="1" x14ac:dyDescent="0.25"/>
    <row r="12" spans="1:104" s="1" customFormat="1" ht="15" customHeight="1" x14ac:dyDescent="0.25">
      <c r="A12" s="94" t="s">
        <v>6</v>
      </c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BF12" s="96" t="s">
        <v>7</v>
      </c>
      <c r="BG12" s="96"/>
      <c r="BH12" s="96"/>
      <c r="BI12" s="96"/>
      <c r="BJ12" s="96"/>
      <c r="BK12" s="96"/>
      <c r="BL12" s="96"/>
      <c r="BM12" s="96"/>
      <c r="BN12" s="96"/>
      <c r="BO12" s="96"/>
      <c r="BP12" s="95">
        <v>470079</v>
      </c>
      <c r="BQ12" s="95"/>
      <c r="BR12" s="95"/>
      <c r="BS12" s="95"/>
      <c r="BT12" s="95"/>
      <c r="BU12" s="95"/>
      <c r="BV12" s="95"/>
      <c r="BW12" s="95"/>
      <c r="BX12" s="95"/>
      <c r="BY12" s="95"/>
      <c r="BZ12" s="95"/>
      <c r="CA12" s="95"/>
      <c r="CB12" s="95"/>
      <c r="CC12" s="95"/>
    </row>
    <row r="13" spans="1:104" s="2" customFormat="1" ht="6" customHeight="1" x14ac:dyDescent="0.3"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4"/>
      <c r="CW13" s="4"/>
      <c r="CX13" s="4"/>
      <c r="CY13" s="4"/>
      <c r="CZ13" s="4"/>
    </row>
    <row r="14" spans="1:104" s="5" customFormat="1" ht="15" customHeight="1" x14ac:dyDescent="0.3">
      <c r="U14" s="6"/>
      <c r="V14" s="6"/>
      <c r="W14" s="6"/>
      <c r="X14" s="6"/>
      <c r="Y14" s="6"/>
      <c r="Z14" s="6"/>
      <c r="AA14" s="6"/>
      <c r="AB14" s="6"/>
      <c r="AC14" s="6"/>
      <c r="AD14" s="6"/>
      <c r="AE14" s="97" t="s">
        <v>8</v>
      </c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8">
        <v>2515868209</v>
      </c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9" t="s">
        <v>9</v>
      </c>
      <c r="BN14" s="99"/>
      <c r="BO14" s="99"/>
      <c r="BP14" s="99"/>
      <c r="BQ14" s="99"/>
      <c r="BR14" s="99"/>
      <c r="BS14" s="99"/>
      <c r="BT14" s="99"/>
      <c r="BU14" s="100">
        <v>43159</v>
      </c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6" t="s">
        <v>10</v>
      </c>
      <c r="CP14" s="6"/>
      <c r="CQ14" s="6"/>
      <c r="CR14" s="6"/>
      <c r="CS14" s="6"/>
      <c r="CT14" s="6"/>
      <c r="CU14" s="6"/>
      <c r="CV14" s="7"/>
      <c r="CW14" s="7"/>
      <c r="CX14" s="7"/>
      <c r="CY14" s="7"/>
      <c r="CZ14" s="7"/>
    </row>
    <row r="15" spans="1:104" s="8" customFormat="1" ht="6" customHeight="1" x14ac:dyDescent="0.25"/>
    <row r="16" spans="1:104" s="9" customFormat="1" ht="12" customHeight="1" x14ac:dyDescent="0.25">
      <c r="A16" s="85" t="s">
        <v>11</v>
      </c>
      <c r="B16" s="86"/>
      <c r="C16" s="87"/>
      <c r="D16" s="78" t="s">
        <v>12</v>
      </c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80"/>
      <c r="AM16" s="85" t="s">
        <v>13</v>
      </c>
      <c r="AN16" s="86"/>
      <c r="AO16" s="86"/>
      <c r="AP16" s="86"/>
      <c r="AQ16" s="87"/>
      <c r="AR16" s="101" t="s">
        <v>14</v>
      </c>
      <c r="AS16" s="101"/>
      <c r="AT16" s="101"/>
      <c r="AU16" s="101"/>
      <c r="AV16" s="101"/>
      <c r="AW16" s="101"/>
      <c r="AX16" s="101"/>
      <c r="AY16" s="101"/>
      <c r="AZ16" s="101"/>
      <c r="BA16" s="101"/>
      <c r="BB16" s="85" t="s">
        <v>13</v>
      </c>
      <c r="BC16" s="86"/>
      <c r="BD16" s="86"/>
      <c r="BE16" s="86"/>
      <c r="BF16" s="87"/>
      <c r="BG16" s="85" t="s">
        <v>14</v>
      </c>
      <c r="BH16" s="86"/>
      <c r="BI16" s="86"/>
      <c r="BJ16" s="86"/>
      <c r="BK16" s="86"/>
      <c r="BL16" s="87"/>
      <c r="BM16" s="85" t="s">
        <v>15</v>
      </c>
      <c r="BN16" s="86"/>
      <c r="BO16" s="86"/>
      <c r="BP16" s="86"/>
      <c r="BQ16" s="86"/>
      <c r="BR16" s="86"/>
      <c r="BS16" s="86"/>
      <c r="BT16" s="87"/>
      <c r="BU16" s="85" t="s">
        <v>16</v>
      </c>
      <c r="BV16" s="86"/>
      <c r="BW16" s="86"/>
      <c r="BX16" s="86"/>
      <c r="BY16" s="86"/>
      <c r="BZ16" s="86"/>
      <c r="CA16" s="86"/>
      <c r="CB16" s="86"/>
      <c r="CC16" s="86"/>
      <c r="CD16" s="87"/>
      <c r="CE16" s="101" t="s">
        <v>17</v>
      </c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85" t="s">
        <v>18</v>
      </c>
      <c r="CR16" s="86"/>
      <c r="CS16" s="86"/>
      <c r="CT16" s="86"/>
      <c r="CU16" s="86"/>
      <c r="CV16" s="86"/>
      <c r="CW16" s="86"/>
      <c r="CX16" s="86"/>
      <c r="CY16" s="86"/>
      <c r="CZ16" s="87"/>
    </row>
    <row r="17" spans="1:107" s="9" customFormat="1" ht="12" customHeight="1" x14ac:dyDescent="0.25">
      <c r="A17" s="88"/>
      <c r="B17" s="89"/>
      <c r="C17" s="90"/>
      <c r="D17" s="85" t="s">
        <v>19</v>
      </c>
      <c r="E17" s="86"/>
      <c r="F17" s="86"/>
      <c r="G17" s="86"/>
      <c r="H17" s="86"/>
      <c r="I17" s="86"/>
      <c r="J17" s="101" t="s">
        <v>20</v>
      </c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85" t="s">
        <v>21</v>
      </c>
      <c r="Z17" s="102"/>
      <c r="AA17" s="102"/>
      <c r="AB17" s="102"/>
      <c r="AC17" s="102"/>
      <c r="AD17" s="103"/>
      <c r="AE17" s="85" t="s">
        <v>22</v>
      </c>
      <c r="AF17" s="102"/>
      <c r="AG17" s="102"/>
      <c r="AH17" s="102"/>
      <c r="AI17" s="102"/>
      <c r="AJ17" s="102"/>
      <c r="AK17" s="102"/>
      <c r="AL17" s="103"/>
      <c r="AM17" s="88"/>
      <c r="AN17" s="89"/>
      <c r="AO17" s="89"/>
      <c r="AP17" s="89"/>
      <c r="AQ17" s="90"/>
      <c r="AR17" s="85" t="s">
        <v>23</v>
      </c>
      <c r="AS17" s="86"/>
      <c r="AT17" s="86"/>
      <c r="AU17" s="86"/>
      <c r="AV17" s="87"/>
      <c r="AW17" s="85" t="s">
        <v>24</v>
      </c>
      <c r="AX17" s="86"/>
      <c r="AY17" s="86"/>
      <c r="AZ17" s="86"/>
      <c r="BA17" s="87"/>
      <c r="BB17" s="88"/>
      <c r="BC17" s="89"/>
      <c r="BD17" s="89"/>
      <c r="BE17" s="89"/>
      <c r="BF17" s="90"/>
      <c r="BG17" s="88"/>
      <c r="BH17" s="89"/>
      <c r="BI17" s="89"/>
      <c r="BJ17" s="89"/>
      <c r="BK17" s="89"/>
      <c r="BL17" s="90"/>
      <c r="BM17" s="88"/>
      <c r="BN17" s="89"/>
      <c r="BO17" s="89"/>
      <c r="BP17" s="89"/>
      <c r="BQ17" s="89"/>
      <c r="BR17" s="89"/>
      <c r="BS17" s="89"/>
      <c r="BT17" s="90"/>
      <c r="BU17" s="88"/>
      <c r="BV17" s="89"/>
      <c r="BW17" s="89"/>
      <c r="BX17" s="89"/>
      <c r="BY17" s="89"/>
      <c r="BZ17" s="89"/>
      <c r="CA17" s="89"/>
      <c r="CB17" s="89"/>
      <c r="CC17" s="89"/>
      <c r="CD17" s="90"/>
      <c r="CE17" s="85" t="s">
        <v>25</v>
      </c>
      <c r="CF17" s="86"/>
      <c r="CG17" s="86"/>
      <c r="CH17" s="87"/>
      <c r="CI17" s="85" t="s">
        <v>26</v>
      </c>
      <c r="CJ17" s="86"/>
      <c r="CK17" s="86"/>
      <c r="CL17" s="86"/>
      <c r="CM17" s="86"/>
      <c r="CN17" s="86"/>
      <c r="CO17" s="86"/>
      <c r="CP17" s="87"/>
      <c r="CQ17" s="88"/>
      <c r="CR17" s="89"/>
      <c r="CS17" s="89"/>
      <c r="CT17" s="89"/>
      <c r="CU17" s="89"/>
      <c r="CV17" s="89"/>
      <c r="CW17" s="89"/>
      <c r="CX17" s="89"/>
      <c r="CY17" s="89"/>
      <c r="CZ17" s="90"/>
    </row>
    <row r="18" spans="1:107" s="9" customFormat="1" ht="12" customHeight="1" x14ac:dyDescent="0.25">
      <c r="A18" s="91"/>
      <c r="B18" s="92"/>
      <c r="C18" s="93"/>
      <c r="D18" s="91"/>
      <c r="E18" s="92"/>
      <c r="F18" s="92"/>
      <c r="G18" s="92"/>
      <c r="H18" s="92"/>
      <c r="I18" s="92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4"/>
      <c r="Z18" s="105"/>
      <c r="AA18" s="105"/>
      <c r="AB18" s="105"/>
      <c r="AC18" s="105"/>
      <c r="AD18" s="106"/>
      <c r="AE18" s="104"/>
      <c r="AF18" s="105"/>
      <c r="AG18" s="105"/>
      <c r="AH18" s="105"/>
      <c r="AI18" s="105"/>
      <c r="AJ18" s="105"/>
      <c r="AK18" s="105"/>
      <c r="AL18" s="106"/>
      <c r="AM18" s="91"/>
      <c r="AN18" s="92"/>
      <c r="AO18" s="92"/>
      <c r="AP18" s="92"/>
      <c r="AQ18" s="93"/>
      <c r="AR18" s="91"/>
      <c r="AS18" s="92"/>
      <c r="AT18" s="92"/>
      <c r="AU18" s="92"/>
      <c r="AV18" s="93"/>
      <c r="AW18" s="91"/>
      <c r="AX18" s="92"/>
      <c r="AY18" s="92"/>
      <c r="AZ18" s="92"/>
      <c r="BA18" s="93"/>
      <c r="BB18" s="91"/>
      <c r="BC18" s="92"/>
      <c r="BD18" s="92"/>
      <c r="BE18" s="92"/>
      <c r="BF18" s="93"/>
      <c r="BG18" s="91"/>
      <c r="BH18" s="92"/>
      <c r="BI18" s="92"/>
      <c r="BJ18" s="92"/>
      <c r="BK18" s="92"/>
      <c r="BL18" s="93"/>
      <c r="BM18" s="91" t="s">
        <v>27</v>
      </c>
      <c r="BN18" s="92"/>
      <c r="BO18" s="92"/>
      <c r="BP18" s="92"/>
      <c r="BQ18" s="92"/>
      <c r="BR18" s="92"/>
      <c r="BS18" s="92"/>
      <c r="BT18" s="93"/>
      <c r="BU18" s="91" t="str">
        <f>BM18</f>
        <v>грн.коп</v>
      </c>
      <c r="BV18" s="92"/>
      <c r="BW18" s="92"/>
      <c r="BX18" s="92"/>
      <c r="BY18" s="92"/>
      <c r="BZ18" s="92"/>
      <c r="CA18" s="92"/>
      <c r="CB18" s="92"/>
      <c r="CC18" s="92"/>
      <c r="CD18" s="93"/>
      <c r="CE18" s="91"/>
      <c r="CF18" s="92"/>
      <c r="CG18" s="92"/>
      <c r="CH18" s="93"/>
      <c r="CI18" s="91" t="str">
        <f>BM18</f>
        <v>грн.коп</v>
      </c>
      <c r="CJ18" s="92"/>
      <c r="CK18" s="92"/>
      <c r="CL18" s="92"/>
      <c r="CM18" s="92"/>
      <c r="CN18" s="92"/>
      <c r="CO18" s="92"/>
      <c r="CP18" s="93"/>
      <c r="CQ18" s="91" t="str">
        <f>BM18</f>
        <v>грн.коп</v>
      </c>
      <c r="CR18" s="92"/>
      <c r="CS18" s="92"/>
      <c r="CT18" s="92"/>
      <c r="CU18" s="92"/>
      <c r="CV18" s="92"/>
      <c r="CW18" s="92"/>
      <c r="CX18" s="92"/>
      <c r="CY18" s="92"/>
      <c r="CZ18" s="93"/>
    </row>
    <row r="19" spans="1:107" s="9" customFormat="1" ht="12" customHeight="1" x14ac:dyDescent="0.25">
      <c r="A19" s="61">
        <v>1</v>
      </c>
      <c r="B19" s="61"/>
      <c r="C19" s="61"/>
      <c r="D19" s="78">
        <v>2</v>
      </c>
      <c r="E19" s="79"/>
      <c r="F19" s="79"/>
      <c r="G19" s="79"/>
      <c r="H19" s="79"/>
      <c r="I19" s="79"/>
      <c r="J19" s="61">
        <v>3</v>
      </c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78">
        <v>4</v>
      </c>
      <c r="Z19" s="79"/>
      <c r="AA19" s="79"/>
      <c r="AB19" s="79"/>
      <c r="AC19" s="79"/>
      <c r="AD19" s="80"/>
      <c r="AE19" s="78">
        <v>5</v>
      </c>
      <c r="AF19" s="79"/>
      <c r="AG19" s="79"/>
      <c r="AH19" s="79"/>
      <c r="AI19" s="79"/>
      <c r="AJ19" s="79"/>
      <c r="AK19" s="79"/>
      <c r="AL19" s="80"/>
      <c r="AM19" s="61">
        <v>6</v>
      </c>
      <c r="AN19" s="61"/>
      <c r="AO19" s="61"/>
      <c r="AP19" s="61"/>
      <c r="AQ19" s="61"/>
      <c r="AR19" s="61">
        <v>7</v>
      </c>
      <c r="AS19" s="61"/>
      <c r="AT19" s="61"/>
      <c r="AU19" s="61"/>
      <c r="AV19" s="61"/>
      <c r="AW19" s="61">
        <v>8</v>
      </c>
      <c r="AX19" s="61"/>
      <c r="AY19" s="61"/>
      <c r="AZ19" s="61"/>
      <c r="BA19" s="61"/>
      <c r="BB19" s="61">
        <v>9</v>
      </c>
      <c r="BC19" s="61"/>
      <c r="BD19" s="61"/>
      <c r="BE19" s="61"/>
      <c r="BF19" s="61"/>
      <c r="BG19" s="61">
        <v>10</v>
      </c>
      <c r="BH19" s="61"/>
      <c r="BI19" s="61"/>
      <c r="BJ19" s="61"/>
      <c r="BK19" s="61"/>
      <c r="BL19" s="61"/>
      <c r="BM19" s="78">
        <v>11</v>
      </c>
      <c r="BN19" s="79"/>
      <c r="BO19" s="79"/>
      <c r="BP19" s="79"/>
      <c r="BQ19" s="79"/>
      <c r="BR19" s="79"/>
      <c r="BS19" s="79"/>
      <c r="BT19" s="79"/>
      <c r="BU19" s="78">
        <v>12</v>
      </c>
      <c r="BV19" s="79"/>
      <c r="BW19" s="79"/>
      <c r="BX19" s="79"/>
      <c r="BY19" s="79"/>
      <c r="BZ19" s="79"/>
      <c r="CA19" s="79"/>
      <c r="CB19" s="79"/>
      <c r="CC19" s="79"/>
      <c r="CD19" s="80"/>
      <c r="CE19" s="61">
        <v>13</v>
      </c>
      <c r="CF19" s="61"/>
      <c r="CG19" s="61"/>
      <c r="CH19" s="61"/>
      <c r="CI19" s="61">
        <v>14</v>
      </c>
      <c r="CJ19" s="61"/>
      <c r="CK19" s="61"/>
      <c r="CL19" s="61"/>
      <c r="CM19" s="61"/>
      <c r="CN19" s="61"/>
      <c r="CO19" s="61"/>
      <c r="CP19" s="61"/>
      <c r="CQ19" s="61">
        <v>15</v>
      </c>
      <c r="CR19" s="61"/>
      <c r="CS19" s="61"/>
      <c r="CT19" s="61"/>
      <c r="CU19" s="61"/>
      <c r="CV19" s="61"/>
      <c r="CW19" s="61"/>
      <c r="CX19" s="61"/>
      <c r="CY19" s="61"/>
      <c r="CZ19" s="61"/>
    </row>
    <row r="20" spans="1:107" s="10" customFormat="1" ht="12" customHeight="1" x14ac:dyDescent="0.25">
      <c r="A20" s="62">
        <v>1</v>
      </c>
      <c r="B20" s="62"/>
      <c r="C20" s="62"/>
      <c r="D20" s="63">
        <v>492415</v>
      </c>
      <c r="E20" s="64"/>
      <c r="F20" s="64"/>
      <c r="G20" s="64"/>
      <c r="H20" s="64"/>
      <c r="I20" s="65"/>
      <c r="J20" s="66" t="s">
        <v>42</v>
      </c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8"/>
      <c r="Y20" s="63" t="s">
        <v>43</v>
      </c>
      <c r="Z20" s="64"/>
      <c r="AA20" s="64"/>
      <c r="AB20" s="64"/>
      <c r="AC20" s="64"/>
      <c r="AD20" s="65"/>
      <c r="AE20" s="74" t="s">
        <v>44</v>
      </c>
      <c r="AF20" s="75"/>
      <c r="AG20" s="75"/>
      <c r="AH20" s="75"/>
      <c r="AI20" s="75"/>
      <c r="AJ20" s="75"/>
      <c r="AK20" s="75"/>
      <c r="AL20" s="75"/>
      <c r="AM20" s="62" t="s">
        <v>45</v>
      </c>
      <c r="AN20" s="62"/>
      <c r="AO20" s="62"/>
      <c r="AP20" s="62"/>
      <c r="AQ20" s="62"/>
      <c r="AR20" s="61">
        <v>5</v>
      </c>
      <c r="AS20" s="61"/>
      <c r="AT20" s="61"/>
      <c r="AU20" s="61"/>
      <c r="AV20" s="61"/>
      <c r="AW20" s="61">
        <v>6</v>
      </c>
      <c r="AX20" s="61"/>
      <c r="AY20" s="61"/>
      <c r="AZ20" s="61"/>
      <c r="BA20" s="61"/>
      <c r="BB20" s="51" t="s">
        <v>46</v>
      </c>
      <c r="BC20" s="52"/>
      <c r="BD20" s="52"/>
      <c r="BE20" s="52"/>
      <c r="BF20" s="53"/>
      <c r="BG20" s="54">
        <v>30</v>
      </c>
      <c r="BH20" s="55"/>
      <c r="BI20" s="55"/>
      <c r="BJ20" s="55"/>
      <c r="BK20" s="55"/>
      <c r="BL20" s="56"/>
      <c r="BM20" s="48">
        <v>614.79999999999995</v>
      </c>
      <c r="BN20" s="49"/>
      <c r="BO20" s="49"/>
      <c r="BP20" s="49"/>
      <c r="BQ20" s="49"/>
      <c r="BR20" s="49"/>
      <c r="BS20" s="49"/>
      <c r="BT20" s="50"/>
      <c r="BU20" s="48">
        <v>18444</v>
      </c>
      <c r="BV20" s="49"/>
      <c r="BW20" s="49"/>
      <c r="BX20" s="49"/>
      <c r="BY20" s="49"/>
      <c r="BZ20" s="49"/>
      <c r="CA20" s="49"/>
      <c r="CB20" s="49"/>
      <c r="CC20" s="49"/>
      <c r="CD20" s="50"/>
      <c r="CE20" s="57">
        <v>0.2</v>
      </c>
      <c r="CF20" s="58"/>
      <c r="CG20" s="58"/>
      <c r="CH20" s="59"/>
      <c r="CI20" s="60">
        <v>3688.8</v>
      </c>
      <c r="CJ20" s="60"/>
      <c r="CK20" s="60"/>
      <c r="CL20" s="60"/>
      <c r="CM20" s="60"/>
      <c r="CN20" s="60"/>
      <c r="CO20" s="60"/>
      <c r="CP20" s="60"/>
      <c r="CQ20" s="48">
        <v>22132.799999999999</v>
      </c>
      <c r="CR20" s="49"/>
      <c r="CS20" s="49"/>
      <c r="CT20" s="49"/>
      <c r="CU20" s="49"/>
      <c r="CV20" s="49"/>
      <c r="CW20" s="49"/>
      <c r="CX20" s="49"/>
      <c r="CY20" s="49"/>
      <c r="CZ20" s="50"/>
      <c r="DA20" s="9"/>
      <c r="DB20" s="9"/>
      <c r="DC20" s="9"/>
    </row>
    <row r="21" spans="1:107" s="10" customFormat="1" ht="12" customHeight="1" x14ac:dyDescent="0.25">
      <c r="A21" s="62" t="s">
        <v>63</v>
      </c>
      <c r="B21" s="62"/>
      <c r="C21" s="62"/>
      <c r="D21" s="63">
        <v>550085</v>
      </c>
      <c r="E21" s="64"/>
      <c r="F21" s="64"/>
      <c r="G21" s="64"/>
      <c r="H21" s="64"/>
      <c r="I21" s="65"/>
      <c r="J21" s="66" t="s">
        <v>59</v>
      </c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8"/>
      <c r="Y21" s="63" t="s">
        <v>60</v>
      </c>
      <c r="Z21" s="64"/>
      <c r="AA21" s="64"/>
      <c r="AB21" s="64"/>
      <c r="AC21" s="64"/>
      <c r="AD21" s="65"/>
      <c r="AE21" s="69">
        <v>3168430258426</v>
      </c>
      <c r="AF21" s="70"/>
      <c r="AG21" s="70"/>
      <c r="AH21" s="70"/>
      <c r="AI21" s="70"/>
      <c r="AJ21" s="70"/>
      <c r="AK21" s="70"/>
      <c r="AL21" s="70"/>
      <c r="AM21" s="62" t="s">
        <v>45</v>
      </c>
      <c r="AN21" s="62"/>
      <c r="AO21" s="62"/>
      <c r="AP21" s="62"/>
      <c r="AQ21" s="62"/>
      <c r="AR21" s="61">
        <v>11</v>
      </c>
      <c r="AS21" s="61"/>
      <c r="AT21" s="61"/>
      <c r="AU21" s="61"/>
      <c r="AV21" s="61"/>
      <c r="AW21" s="61">
        <v>10</v>
      </c>
      <c r="AX21" s="61"/>
      <c r="AY21" s="61"/>
      <c r="AZ21" s="61"/>
      <c r="BA21" s="61"/>
      <c r="BB21" s="51" t="s">
        <v>46</v>
      </c>
      <c r="BC21" s="52"/>
      <c r="BD21" s="52"/>
      <c r="BE21" s="52"/>
      <c r="BF21" s="53"/>
      <c r="BG21" s="54">
        <v>110</v>
      </c>
      <c r="BH21" s="55"/>
      <c r="BI21" s="55"/>
      <c r="BJ21" s="55"/>
      <c r="BK21" s="55"/>
      <c r="BL21" s="56"/>
      <c r="BM21" s="48">
        <f>BU21/BG21</f>
        <v>271.39999999999998</v>
      </c>
      <c r="BN21" s="49"/>
      <c r="BO21" s="49"/>
      <c r="BP21" s="49"/>
      <c r="BQ21" s="49"/>
      <c r="BR21" s="49"/>
      <c r="BS21" s="49"/>
      <c r="BT21" s="50"/>
      <c r="BU21" s="48">
        <v>29854</v>
      </c>
      <c r="BV21" s="49"/>
      <c r="BW21" s="49"/>
      <c r="BX21" s="49"/>
      <c r="BY21" s="49"/>
      <c r="BZ21" s="49"/>
      <c r="CA21" s="49"/>
      <c r="CB21" s="49"/>
      <c r="CC21" s="49"/>
      <c r="CD21" s="50"/>
      <c r="CE21" s="57">
        <v>0.2</v>
      </c>
      <c r="CF21" s="58"/>
      <c r="CG21" s="58"/>
      <c r="CH21" s="59"/>
      <c r="CI21" s="60">
        <v>5970.8</v>
      </c>
      <c r="CJ21" s="60"/>
      <c r="CK21" s="60"/>
      <c r="CL21" s="60"/>
      <c r="CM21" s="60"/>
      <c r="CN21" s="60"/>
      <c r="CO21" s="60"/>
      <c r="CP21" s="60"/>
      <c r="CQ21" s="48">
        <f>BU21*1.2</f>
        <v>35824.799999999996</v>
      </c>
      <c r="CR21" s="49"/>
      <c r="CS21" s="49"/>
      <c r="CT21" s="49"/>
      <c r="CU21" s="49"/>
      <c r="CV21" s="49"/>
      <c r="CW21" s="49"/>
      <c r="CX21" s="49"/>
      <c r="CY21" s="49"/>
      <c r="CZ21" s="50"/>
      <c r="DA21" s="9"/>
      <c r="DB21" s="9"/>
      <c r="DC21" s="9"/>
    </row>
    <row r="22" spans="1:107" s="10" customFormat="1" ht="12" customHeight="1" x14ac:dyDescent="0.25">
      <c r="A22" s="62" t="s">
        <v>64</v>
      </c>
      <c r="B22" s="62"/>
      <c r="C22" s="62"/>
      <c r="D22" s="63">
        <v>550100</v>
      </c>
      <c r="E22" s="64"/>
      <c r="F22" s="64"/>
      <c r="G22" s="64"/>
      <c r="H22" s="64"/>
      <c r="I22" s="65"/>
      <c r="J22" s="66" t="s">
        <v>61</v>
      </c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8"/>
      <c r="Y22" s="63" t="s">
        <v>62</v>
      </c>
      <c r="Z22" s="64"/>
      <c r="AA22" s="64"/>
      <c r="AB22" s="64"/>
      <c r="AC22" s="64"/>
      <c r="AD22" s="65"/>
      <c r="AE22" s="69">
        <v>3168430259805</v>
      </c>
      <c r="AF22" s="70"/>
      <c r="AG22" s="70"/>
      <c r="AH22" s="70"/>
      <c r="AI22" s="70"/>
      <c r="AJ22" s="70"/>
      <c r="AK22" s="70"/>
      <c r="AL22" s="70"/>
      <c r="AM22" s="62" t="s">
        <v>45</v>
      </c>
      <c r="AN22" s="62"/>
      <c r="AO22" s="62"/>
      <c r="AP22" s="62"/>
      <c r="AQ22" s="62"/>
      <c r="AR22" s="61">
        <v>13</v>
      </c>
      <c r="AS22" s="61"/>
      <c r="AT22" s="61"/>
      <c r="AU22" s="61"/>
      <c r="AV22" s="61"/>
      <c r="AW22" s="61">
        <v>10</v>
      </c>
      <c r="AX22" s="61"/>
      <c r="AY22" s="61"/>
      <c r="AZ22" s="61"/>
      <c r="BA22" s="61"/>
      <c r="BB22" s="51" t="s">
        <v>46</v>
      </c>
      <c r="BC22" s="52"/>
      <c r="BD22" s="52"/>
      <c r="BE22" s="52"/>
      <c r="BF22" s="53"/>
      <c r="BG22" s="54">
        <v>130</v>
      </c>
      <c r="BH22" s="55"/>
      <c r="BI22" s="55"/>
      <c r="BJ22" s="55"/>
      <c r="BK22" s="55"/>
      <c r="BL22" s="56"/>
      <c r="BM22" s="48">
        <f>BU22/BG22</f>
        <v>316.7</v>
      </c>
      <c r="BN22" s="49"/>
      <c r="BO22" s="49"/>
      <c r="BP22" s="49"/>
      <c r="BQ22" s="49"/>
      <c r="BR22" s="49"/>
      <c r="BS22" s="49"/>
      <c r="BT22" s="50"/>
      <c r="BU22" s="48">
        <v>41171</v>
      </c>
      <c r="BV22" s="49"/>
      <c r="BW22" s="49"/>
      <c r="BX22" s="49"/>
      <c r="BY22" s="49"/>
      <c r="BZ22" s="49"/>
      <c r="CA22" s="49"/>
      <c r="CB22" s="49"/>
      <c r="CC22" s="49"/>
      <c r="CD22" s="50"/>
      <c r="CE22" s="57">
        <v>0.2</v>
      </c>
      <c r="CF22" s="58"/>
      <c r="CG22" s="58"/>
      <c r="CH22" s="59"/>
      <c r="CI22" s="60">
        <v>8234.2000000000007</v>
      </c>
      <c r="CJ22" s="60"/>
      <c r="CK22" s="60"/>
      <c r="CL22" s="60"/>
      <c r="CM22" s="60"/>
      <c r="CN22" s="60"/>
      <c r="CO22" s="60"/>
      <c r="CP22" s="60"/>
      <c r="CQ22" s="48">
        <f>BU22*1.2</f>
        <v>49405.2</v>
      </c>
      <c r="CR22" s="49"/>
      <c r="CS22" s="49"/>
      <c r="CT22" s="49"/>
      <c r="CU22" s="49"/>
      <c r="CV22" s="49"/>
      <c r="CW22" s="49"/>
      <c r="CX22" s="49"/>
      <c r="CY22" s="49"/>
      <c r="CZ22" s="50"/>
      <c r="DA22" s="9"/>
      <c r="DB22" s="9"/>
      <c r="DC22" s="9"/>
    </row>
    <row r="23" spans="1:107" s="10" customFormat="1" ht="12" customHeight="1" x14ac:dyDescent="0.25">
      <c r="A23" s="62" t="s">
        <v>65</v>
      </c>
      <c r="B23" s="62"/>
      <c r="C23" s="62"/>
      <c r="D23" s="63">
        <v>550104</v>
      </c>
      <c r="E23" s="64"/>
      <c r="F23" s="64"/>
      <c r="G23" s="64"/>
      <c r="H23" s="64"/>
      <c r="I23" s="65"/>
      <c r="J23" s="66" t="s">
        <v>47</v>
      </c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8"/>
      <c r="Y23" s="63" t="s">
        <v>48</v>
      </c>
      <c r="Z23" s="64"/>
      <c r="AA23" s="64"/>
      <c r="AB23" s="64"/>
      <c r="AC23" s="64"/>
      <c r="AD23" s="65"/>
      <c r="AE23" s="74" t="s">
        <v>49</v>
      </c>
      <c r="AF23" s="75"/>
      <c r="AG23" s="75"/>
      <c r="AH23" s="75"/>
      <c r="AI23" s="75"/>
      <c r="AJ23" s="75"/>
      <c r="AK23" s="75"/>
      <c r="AL23" s="75"/>
      <c r="AM23" s="62" t="s">
        <v>45</v>
      </c>
      <c r="AN23" s="62"/>
      <c r="AO23" s="62"/>
      <c r="AP23" s="62"/>
      <c r="AQ23" s="62"/>
      <c r="AR23" s="61">
        <v>4</v>
      </c>
      <c r="AS23" s="61"/>
      <c r="AT23" s="61"/>
      <c r="AU23" s="61"/>
      <c r="AV23" s="61"/>
      <c r="AW23" s="61">
        <v>6</v>
      </c>
      <c r="AX23" s="61"/>
      <c r="AY23" s="61"/>
      <c r="AZ23" s="61"/>
      <c r="BA23" s="61"/>
      <c r="BB23" s="51" t="s">
        <v>46</v>
      </c>
      <c r="BC23" s="52"/>
      <c r="BD23" s="52"/>
      <c r="BE23" s="52"/>
      <c r="BF23" s="53"/>
      <c r="BG23" s="54">
        <v>24</v>
      </c>
      <c r="BH23" s="55"/>
      <c r="BI23" s="55"/>
      <c r="BJ23" s="55"/>
      <c r="BK23" s="55"/>
      <c r="BL23" s="56"/>
      <c r="BM23" s="48">
        <v>518.4</v>
      </c>
      <c r="BN23" s="49"/>
      <c r="BO23" s="49"/>
      <c r="BP23" s="49"/>
      <c r="BQ23" s="49"/>
      <c r="BR23" s="49"/>
      <c r="BS23" s="49"/>
      <c r="BT23" s="50"/>
      <c r="BU23" s="48">
        <v>12441.6</v>
      </c>
      <c r="BV23" s="49"/>
      <c r="BW23" s="49"/>
      <c r="BX23" s="49"/>
      <c r="BY23" s="49"/>
      <c r="BZ23" s="49"/>
      <c r="CA23" s="49"/>
      <c r="CB23" s="49"/>
      <c r="CC23" s="49"/>
      <c r="CD23" s="50"/>
      <c r="CE23" s="57">
        <v>0.2</v>
      </c>
      <c r="CF23" s="58"/>
      <c r="CG23" s="58"/>
      <c r="CH23" s="59"/>
      <c r="CI23" s="60">
        <v>2488.3200000000002</v>
      </c>
      <c r="CJ23" s="60"/>
      <c r="CK23" s="60"/>
      <c r="CL23" s="60"/>
      <c r="CM23" s="60"/>
      <c r="CN23" s="60"/>
      <c r="CO23" s="60"/>
      <c r="CP23" s="60"/>
      <c r="CQ23" s="48">
        <v>14929.92</v>
      </c>
      <c r="CR23" s="49"/>
      <c r="CS23" s="49"/>
      <c r="CT23" s="49"/>
      <c r="CU23" s="49"/>
      <c r="CV23" s="49"/>
      <c r="CW23" s="49"/>
      <c r="CX23" s="49"/>
      <c r="CY23" s="49"/>
      <c r="CZ23" s="50"/>
      <c r="DA23" s="9"/>
      <c r="DB23" s="9"/>
      <c r="DC23" s="9"/>
    </row>
    <row r="24" spans="1:107" s="10" customFormat="1" ht="12" customHeight="1" x14ac:dyDescent="0.25">
      <c r="A24" s="62" t="s">
        <v>66</v>
      </c>
      <c r="B24" s="62"/>
      <c r="C24" s="62"/>
      <c r="D24" s="63">
        <v>550105</v>
      </c>
      <c r="E24" s="64"/>
      <c r="F24" s="64"/>
      <c r="G24" s="64"/>
      <c r="H24" s="64"/>
      <c r="I24" s="65"/>
      <c r="J24" s="66" t="s">
        <v>50</v>
      </c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8"/>
      <c r="Y24" s="63" t="s">
        <v>51</v>
      </c>
      <c r="Z24" s="64"/>
      <c r="AA24" s="64"/>
      <c r="AB24" s="64"/>
      <c r="AC24" s="64"/>
      <c r="AD24" s="65"/>
      <c r="AE24" s="74" t="s">
        <v>52</v>
      </c>
      <c r="AF24" s="75"/>
      <c r="AG24" s="75"/>
      <c r="AH24" s="75"/>
      <c r="AI24" s="75"/>
      <c r="AJ24" s="75"/>
      <c r="AK24" s="75"/>
      <c r="AL24" s="75"/>
      <c r="AM24" s="62" t="s">
        <v>45</v>
      </c>
      <c r="AN24" s="62"/>
      <c r="AO24" s="62"/>
      <c r="AP24" s="62"/>
      <c r="AQ24" s="62"/>
      <c r="AR24" s="61">
        <v>4</v>
      </c>
      <c r="AS24" s="61"/>
      <c r="AT24" s="61"/>
      <c r="AU24" s="61"/>
      <c r="AV24" s="61"/>
      <c r="AW24" s="61">
        <v>4</v>
      </c>
      <c r="AX24" s="61"/>
      <c r="AY24" s="61"/>
      <c r="AZ24" s="61"/>
      <c r="BA24" s="61"/>
      <c r="BB24" s="51" t="s">
        <v>46</v>
      </c>
      <c r="BC24" s="52"/>
      <c r="BD24" s="52"/>
      <c r="BE24" s="52"/>
      <c r="BF24" s="53"/>
      <c r="BG24" s="54">
        <v>16</v>
      </c>
      <c r="BH24" s="55"/>
      <c r="BI24" s="55"/>
      <c r="BJ24" s="55"/>
      <c r="BK24" s="55"/>
      <c r="BL24" s="56"/>
      <c r="BM24" s="48">
        <v>665.8</v>
      </c>
      <c r="BN24" s="49"/>
      <c r="BO24" s="49"/>
      <c r="BP24" s="49"/>
      <c r="BQ24" s="49"/>
      <c r="BR24" s="49"/>
      <c r="BS24" s="49"/>
      <c r="BT24" s="50"/>
      <c r="BU24" s="48">
        <v>10652.8</v>
      </c>
      <c r="BV24" s="49"/>
      <c r="BW24" s="49"/>
      <c r="BX24" s="49"/>
      <c r="BY24" s="49"/>
      <c r="BZ24" s="49"/>
      <c r="CA24" s="49"/>
      <c r="CB24" s="49"/>
      <c r="CC24" s="49"/>
      <c r="CD24" s="50"/>
      <c r="CE24" s="57">
        <v>0.2</v>
      </c>
      <c r="CF24" s="58"/>
      <c r="CG24" s="58"/>
      <c r="CH24" s="59"/>
      <c r="CI24" s="60">
        <v>2130.56</v>
      </c>
      <c r="CJ24" s="60"/>
      <c r="CK24" s="60"/>
      <c r="CL24" s="60"/>
      <c r="CM24" s="60"/>
      <c r="CN24" s="60"/>
      <c r="CO24" s="60"/>
      <c r="CP24" s="60"/>
      <c r="CQ24" s="48">
        <v>12783.359999999999</v>
      </c>
      <c r="CR24" s="49"/>
      <c r="CS24" s="49"/>
      <c r="CT24" s="49"/>
      <c r="CU24" s="49"/>
      <c r="CV24" s="49"/>
      <c r="CW24" s="49"/>
      <c r="CX24" s="49"/>
      <c r="CY24" s="49"/>
      <c r="CZ24" s="50"/>
      <c r="DA24" s="9"/>
      <c r="DB24" s="9"/>
      <c r="DC24" s="9"/>
    </row>
    <row r="25" spans="1:107" s="10" customFormat="1" ht="12" customHeight="1" x14ac:dyDescent="0.25">
      <c r="A25" s="77" t="s">
        <v>28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61" t="s">
        <v>29</v>
      </c>
      <c r="AN25" s="61"/>
      <c r="AO25" s="61"/>
      <c r="AP25" s="61"/>
      <c r="AQ25" s="61"/>
      <c r="AR25" s="61">
        <f>SUM(AR20:AV24)</f>
        <v>37</v>
      </c>
      <c r="AS25" s="61"/>
      <c r="AT25" s="61"/>
      <c r="AU25" s="61"/>
      <c r="AV25" s="61"/>
      <c r="AW25" s="61" t="s">
        <v>29</v>
      </c>
      <c r="AX25" s="61"/>
      <c r="AY25" s="61"/>
      <c r="AZ25" s="61"/>
      <c r="BA25" s="61"/>
      <c r="BB25" s="51" t="s">
        <v>29</v>
      </c>
      <c r="BC25" s="52"/>
      <c r="BD25" s="52"/>
      <c r="BE25" s="52"/>
      <c r="BF25" s="53"/>
      <c r="BG25" s="54">
        <f>SUM(BG20:BL24)</f>
        <v>310</v>
      </c>
      <c r="BH25" s="55"/>
      <c r="BI25" s="55"/>
      <c r="BJ25" s="55"/>
      <c r="BK25" s="55"/>
      <c r="BL25" s="56"/>
      <c r="BM25" s="78" t="s">
        <v>30</v>
      </c>
      <c r="BN25" s="79"/>
      <c r="BO25" s="79"/>
      <c r="BP25" s="79"/>
      <c r="BQ25" s="79"/>
      <c r="BR25" s="79"/>
      <c r="BS25" s="79"/>
      <c r="BT25" s="79"/>
      <c r="BU25" s="48">
        <f>SUM(BU20:CD24)</f>
        <v>112563.40000000001</v>
      </c>
      <c r="BV25" s="49"/>
      <c r="BW25" s="49"/>
      <c r="BX25" s="49"/>
      <c r="BY25" s="49"/>
      <c r="BZ25" s="49"/>
      <c r="CA25" s="49"/>
      <c r="CB25" s="49"/>
      <c r="CC25" s="49"/>
      <c r="CD25" s="50"/>
      <c r="CE25" s="61" t="s">
        <v>30</v>
      </c>
      <c r="CF25" s="61"/>
      <c r="CG25" s="61"/>
      <c r="CH25" s="61"/>
      <c r="CI25" s="60">
        <f>SUM(CI20:CP24)</f>
        <v>22512.680000000004</v>
      </c>
      <c r="CJ25" s="60"/>
      <c r="CK25" s="60"/>
      <c r="CL25" s="60"/>
      <c r="CM25" s="60"/>
      <c r="CN25" s="60"/>
      <c r="CO25" s="60"/>
      <c r="CP25" s="60"/>
      <c r="CQ25" s="48">
        <f>SUM(CQ20:CZ24)</f>
        <v>135076.07999999999</v>
      </c>
      <c r="CR25" s="49"/>
      <c r="CS25" s="49"/>
      <c r="CT25" s="49"/>
      <c r="CU25" s="49"/>
      <c r="CV25" s="49"/>
      <c r="CW25" s="49"/>
      <c r="CX25" s="49"/>
      <c r="CY25" s="49"/>
      <c r="CZ25" s="50"/>
      <c r="DA25" s="9"/>
      <c r="DB25" s="9"/>
      <c r="DC25" s="9"/>
    </row>
    <row r="26" spans="1:107" s="10" customFormat="1" ht="12" customHeight="1" x14ac:dyDescent="0.25">
      <c r="A26" s="77" t="s">
        <v>28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61" t="s">
        <v>29</v>
      </c>
      <c r="AN26" s="61"/>
      <c r="AO26" s="61"/>
      <c r="AP26" s="61"/>
      <c r="AQ26" s="61"/>
      <c r="AR26" s="61"/>
      <c r="AS26" s="61"/>
      <c r="AT26" s="61"/>
      <c r="AU26" s="61"/>
      <c r="AV26" s="61"/>
      <c r="AW26" s="61" t="s">
        <v>29</v>
      </c>
      <c r="AX26" s="61"/>
      <c r="AY26" s="61"/>
      <c r="AZ26" s="61"/>
      <c r="BA26" s="61"/>
      <c r="BB26" s="51" t="s">
        <v>29</v>
      </c>
      <c r="BC26" s="52"/>
      <c r="BD26" s="52"/>
      <c r="BE26" s="52"/>
      <c r="BF26" s="53"/>
      <c r="BG26" s="54"/>
      <c r="BH26" s="55"/>
      <c r="BI26" s="55"/>
      <c r="BJ26" s="55"/>
      <c r="BK26" s="55"/>
      <c r="BL26" s="56"/>
      <c r="BM26" s="78" t="s">
        <v>30</v>
      </c>
      <c r="BN26" s="79"/>
      <c r="BO26" s="79"/>
      <c r="BP26" s="79"/>
      <c r="BQ26" s="79"/>
      <c r="BR26" s="79"/>
      <c r="BS26" s="79"/>
      <c r="BT26" s="79"/>
      <c r="BU26" s="48"/>
      <c r="BV26" s="49"/>
      <c r="BW26" s="49"/>
      <c r="BX26" s="49"/>
      <c r="BY26" s="49"/>
      <c r="BZ26" s="49"/>
      <c r="CA26" s="49"/>
      <c r="CB26" s="49"/>
      <c r="CC26" s="49"/>
      <c r="CD26" s="50"/>
      <c r="CE26" s="61" t="s">
        <v>30</v>
      </c>
      <c r="CF26" s="61"/>
      <c r="CG26" s="61"/>
      <c r="CH26" s="61"/>
      <c r="CI26" s="60"/>
      <c r="CJ26" s="60"/>
      <c r="CK26" s="60"/>
      <c r="CL26" s="60"/>
      <c r="CM26" s="60"/>
      <c r="CN26" s="60"/>
      <c r="CO26" s="60"/>
      <c r="CP26" s="60"/>
      <c r="CQ26" s="48"/>
      <c r="CR26" s="49"/>
      <c r="CS26" s="49"/>
      <c r="CT26" s="49"/>
      <c r="CU26" s="49"/>
      <c r="CV26" s="49"/>
      <c r="CW26" s="49"/>
      <c r="CX26" s="49"/>
      <c r="CY26" s="49"/>
      <c r="CZ26" s="50"/>
      <c r="DA26" s="9"/>
      <c r="DB26" s="9"/>
      <c r="DC26" s="9"/>
    </row>
    <row r="27" spans="1:107" s="8" customFormat="1" ht="6" customHeight="1" x14ac:dyDescent="0.25">
      <c r="AV27" s="11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9"/>
      <c r="DB27" s="9"/>
      <c r="DC27" s="9"/>
    </row>
    <row r="28" spans="1:107" s="8" customFormat="1" ht="15" customHeight="1" x14ac:dyDescent="0.3">
      <c r="A28" s="71" t="s">
        <v>58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6" t="s">
        <v>67</v>
      </c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  <c r="BM28" s="76"/>
      <c r="BN28" s="76"/>
      <c r="BO28" s="76"/>
      <c r="BP28" s="76"/>
      <c r="BQ28" s="76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/>
      <c r="CN28" s="76"/>
      <c r="CO28" s="76"/>
      <c r="CP28" s="76"/>
      <c r="CQ28" s="76"/>
      <c r="CR28" s="76"/>
      <c r="CS28" s="76"/>
      <c r="CT28" s="76"/>
      <c r="CU28" s="76"/>
      <c r="CV28" s="76"/>
      <c r="CW28" s="76"/>
      <c r="CX28" s="76"/>
      <c r="CY28" s="76"/>
      <c r="CZ28" s="76"/>
    </row>
    <row r="29" spans="1:107" s="8" customFormat="1" ht="15" customHeight="1" x14ac:dyDescent="0.3">
      <c r="A29" s="71" t="s">
        <v>31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2" t="s">
        <v>68</v>
      </c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V29" s="11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</row>
    <row r="30" spans="1:107" s="8" customFormat="1" ht="6" customHeight="1" x14ac:dyDescent="0.25">
      <c r="AV30" s="11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</row>
    <row r="31" spans="1:107" s="8" customFormat="1" ht="12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4"/>
      <c r="N31" s="14"/>
      <c r="O31" s="14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6"/>
      <c r="BA31" s="17" t="s">
        <v>32</v>
      </c>
      <c r="BL31" s="18"/>
      <c r="BM31" s="18"/>
      <c r="BN31" s="18"/>
      <c r="BO31" s="18"/>
      <c r="BP31" s="18"/>
      <c r="BQ31" s="18"/>
      <c r="BR31" s="18"/>
      <c r="BS31" s="18"/>
      <c r="BT31" s="19"/>
      <c r="BU31" s="19"/>
      <c r="BV31" s="20" t="s">
        <v>33</v>
      </c>
      <c r="BW31" s="21"/>
      <c r="BX31" s="21"/>
      <c r="BY31" s="21"/>
      <c r="BZ31" s="22" t="s">
        <v>34</v>
      </c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R31" s="18"/>
      <c r="CS31" s="18"/>
      <c r="CT31" s="18"/>
      <c r="CU31" s="18"/>
      <c r="CV31" s="18"/>
      <c r="CW31" s="18"/>
      <c r="CY31" s="22" t="s">
        <v>35</v>
      </c>
    </row>
    <row r="32" spans="1:107" s="27" customFormat="1" ht="8.1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4"/>
      <c r="BA32" s="13"/>
      <c r="BB32" s="19"/>
      <c r="BC32" s="19"/>
      <c r="BD32" s="19"/>
      <c r="BE32" s="19"/>
      <c r="BF32" s="19"/>
      <c r="BG32" s="19"/>
      <c r="BH32" s="19"/>
      <c r="BI32" s="19"/>
      <c r="BJ32" s="19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19"/>
      <c r="CB32" s="19"/>
      <c r="CC32" s="20"/>
      <c r="CD32" s="25"/>
      <c r="CE32" s="25"/>
      <c r="CF32" s="22"/>
      <c r="CG32" s="19"/>
      <c r="CH32" s="19"/>
      <c r="CI32" s="19"/>
      <c r="CJ32" s="19"/>
      <c r="CK32" s="19"/>
      <c r="CL32" s="25"/>
      <c r="CM32" s="25"/>
      <c r="CN32" s="25"/>
      <c r="CO32" s="25"/>
      <c r="CP32" s="25"/>
      <c r="CQ32" s="25"/>
      <c r="CR32" s="25"/>
      <c r="CS32" s="22"/>
      <c r="CT32" s="25"/>
      <c r="CU32" s="25"/>
      <c r="CV32" s="25"/>
      <c r="CW32" s="25"/>
      <c r="CX32" s="26"/>
      <c r="CY32" s="26"/>
      <c r="CZ32" s="26"/>
    </row>
    <row r="33" spans="1:107" s="27" customFormat="1" ht="12" customHeight="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/>
      <c r="O33" s="14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28"/>
      <c r="BA33" s="73" t="s">
        <v>36</v>
      </c>
      <c r="BB33" s="73"/>
      <c r="BC33" s="73"/>
      <c r="BD33" s="73"/>
      <c r="BE33" s="73"/>
      <c r="BF33" s="73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30"/>
    </row>
    <row r="34" spans="1:107" s="27" customFormat="1" ht="8.15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31"/>
      <c r="BA34" s="23"/>
      <c r="BB34" s="19"/>
      <c r="BC34" s="19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3"/>
    </row>
    <row r="35" spans="1:107" s="19" customFormat="1" ht="12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4"/>
      <c r="O35" s="14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28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  <c r="CX35" s="34"/>
      <c r="CY35" s="34"/>
      <c r="CZ35" s="32"/>
      <c r="DA35" s="30"/>
    </row>
    <row r="36" spans="1:107" s="19" customFormat="1" ht="8.15" customHeight="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31"/>
      <c r="BA36" s="23"/>
    </row>
    <row r="37" spans="1:107" s="19" customFormat="1" ht="12" customHeight="1" x14ac:dyDescent="0.3">
      <c r="A37" s="17" t="s">
        <v>37</v>
      </c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25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3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"/>
      <c r="AY37" s="3"/>
      <c r="AZ37" s="37"/>
      <c r="BA37" s="17" t="s">
        <v>38</v>
      </c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25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3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8"/>
      <c r="DA37" s="38"/>
      <c r="DB37" s="38"/>
      <c r="DC37" s="33"/>
    </row>
    <row r="38" spans="1:107" s="19" customFormat="1" ht="10" customHeight="1" x14ac:dyDescent="0.25"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2"/>
      <c r="AY38" s="32"/>
      <c r="AZ38" s="40"/>
      <c r="BA38" s="30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</row>
    <row r="39" spans="1:107" s="19" customFormat="1" ht="15" customHeight="1" x14ac:dyDescent="0.3">
      <c r="A39" s="19" t="s">
        <v>39</v>
      </c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25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3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"/>
      <c r="AY39" s="3"/>
      <c r="AZ39" s="41"/>
      <c r="BA39" s="19" t="s">
        <v>38</v>
      </c>
      <c r="BG39" s="33"/>
      <c r="BH39" s="33"/>
      <c r="BI39" s="33"/>
      <c r="BJ39" s="33"/>
      <c r="BK39" s="33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25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3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3"/>
    </row>
    <row r="40" spans="1:107" s="19" customFormat="1" ht="12" customHeight="1" x14ac:dyDescent="0.3">
      <c r="O40" s="42"/>
      <c r="P40" s="42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26"/>
      <c r="AS40" s="3"/>
      <c r="AT40" s="3"/>
      <c r="AU40" s="3"/>
      <c r="AV40" s="3"/>
      <c r="AW40" s="3"/>
      <c r="AX40" s="3"/>
      <c r="AY40" s="3"/>
      <c r="AZ40" s="40"/>
      <c r="BA40" s="19" t="s">
        <v>40</v>
      </c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9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</row>
    <row r="41" spans="1:107" s="19" customFormat="1" ht="12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43"/>
      <c r="P41" s="3"/>
      <c r="Q41" s="43"/>
      <c r="R41" s="3"/>
      <c r="S41" s="3"/>
      <c r="T41" s="19" t="s">
        <v>41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2"/>
      <c r="AZ41" s="44"/>
      <c r="BA41" s="30"/>
      <c r="BH41" s="33"/>
      <c r="BI41" s="33"/>
      <c r="BJ41" s="45"/>
      <c r="BK41" s="30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19" t="s">
        <v>41</v>
      </c>
      <c r="BW41" s="33"/>
      <c r="BX41" s="33"/>
      <c r="BY41" s="33"/>
      <c r="BZ41" s="33"/>
      <c r="CA41" s="33"/>
      <c r="CB41" s="33"/>
      <c r="CC41" s="30"/>
      <c r="CD41" s="30"/>
    </row>
  </sheetData>
  <mergeCells count="158">
    <mergeCell ref="BU22:CD22"/>
    <mergeCell ref="CE22:CH22"/>
    <mergeCell ref="CI22:CP22"/>
    <mergeCell ref="CQ22:CZ22"/>
    <mergeCell ref="R10:AZ10"/>
    <mergeCell ref="BC10:BO10"/>
    <mergeCell ref="BP10:CC10"/>
    <mergeCell ref="CD10:CL10"/>
    <mergeCell ref="CM10:CW10"/>
    <mergeCell ref="AM16:AQ18"/>
    <mergeCell ref="AR16:BA16"/>
    <mergeCell ref="CE17:CH18"/>
    <mergeCell ref="CI17:CP17"/>
    <mergeCell ref="BM18:BT18"/>
    <mergeCell ref="BU18:CD18"/>
    <mergeCell ref="CI18:CP18"/>
    <mergeCell ref="CQ18:CZ18"/>
    <mergeCell ref="BM16:BT17"/>
    <mergeCell ref="BU16:CD17"/>
    <mergeCell ref="CE16:CP16"/>
    <mergeCell ref="CQ16:CZ17"/>
    <mergeCell ref="CE19:CH19"/>
    <mergeCell ref="CI19:CP19"/>
    <mergeCell ref="CQ19:CZ19"/>
    <mergeCell ref="A1:CZ1"/>
    <mergeCell ref="A3:Q3"/>
    <mergeCell ref="R3:CW3"/>
    <mergeCell ref="R5:CW5"/>
    <mergeCell ref="A7:Q7"/>
    <mergeCell ref="M4:CW4"/>
    <mergeCell ref="BB16:BF18"/>
    <mergeCell ref="BG16:BL18"/>
    <mergeCell ref="A12:Q12"/>
    <mergeCell ref="R12:AQ12"/>
    <mergeCell ref="BF12:BO12"/>
    <mergeCell ref="BP12:CC12"/>
    <mergeCell ref="AE14:BA14"/>
    <mergeCell ref="BB14:BL14"/>
    <mergeCell ref="BM14:BT14"/>
    <mergeCell ref="BU14:CN14"/>
    <mergeCell ref="D17:I18"/>
    <mergeCell ref="J17:X18"/>
    <mergeCell ref="Y17:AD18"/>
    <mergeCell ref="AE17:AL18"/>
    <mergeCell ref="AR17:AV18"/>
    <mergeCell ref="AW17:BA18"/>
    <mergeCell ref="A16:C18"/>
    <mergeCell ref="D16:AL16"/>
    <mergeCell ref="A20:C20"/>
    <mergeCell ref="D20:I20"/>
    <mergeCell ref="J20:X20"/>
    <mergeCell ref="Y20:AD20"/>
    <mergeCell ref="AE20:AL20"/>
    <mergeCell ref="AM20:AQ20"/>
    <mergeCell ref="AR20:AV20"/>
    <mergeCell ref="AW20:BA20"/>
    <mergeCell ref="J21:X21"/>
    <mergeCell ref="Y21:AD21"/>
    <mergeCell ref="AE21:AL21"/>
    <mergeCell ref="AM21:AQ21"/>
    <mergeCell ref="AR21:AV21"/>
    <mergeCell ref="BB19:BF19"/>
    <mergeCell ref="BG19:BL19"/>
    <mergeCell ref="BM19:BT19"/>
    <mergeCell ref="BU19:CD19"/>
    <mergeCell ref="A19:C19"/>
    <mergeCell ref="D19:I19"/>
    <mergeCell ref="J19:X19"/>
    <mergeCell ref="Y19:AD19"/>
    <mergeCell ref="AE19:AL19"/>
    <mergeCell ref="AM19:AQ19"/>
    <mergeCell ref="AR19:AV19"/>
    <mergeCell ref="AW19:BA19"/>
    <mergeCell ref="CI24:CP24"/>
    <mergeCell ref="CQ24:CZ24"/>
    <mergeCell ref="A25:AL25"/>
    <mergeCell ref="AM25:AQ25"/>
    <mergeCell ref="AR25:AV25"/>
    <mergeCell ref="AW25:BA25"/>
    <mergeCell ref="BB25:BF25"/>
    <mergeCell ref="BG25:BL25"/>
    <mergeCell ref="BM25:BT25"/>
    <mergeCell ref="BU25:CD25"/>
    <mergeCell ref="AW24:BA24"/>
    <mergeCell ref="BB24:BF24"/>
    <mergeCell ref="BG24:BL24"/>
    <mergeCell ref="BM24:BT24"/>
    <mergeCell ref="BU24:CD24"/>
    <mergeCell ref="CE24:CH24"/>
    <mergeCell ref="A24:C24"/>
    <mergeCell ref="D24:I24"/>
    <mergeCell ref="J24:X24"/>
    <mergeCell ref="Y24:AD24"/>
    <mergeCell ref="AE24:AL24"/>
    <mergeCell ref="AM24:AQ24"/>
    <mergeCell ref="AR24:AV24"/>
    <mergeCell ref="BU26:CD26"/>
    <mergeCell ref="CE26:CH26"/>
    <mergeCell ref="CI26:CP26"/>
    <mergeCell ref="CQ26:CZ26"/>
    <mergeCell ref="A28:K28"/>
    <mergeCell ref="L28:CZ28"/>
    <mergeCell ref="CE25:CH25"/>
    <mergeCell ref="CI25:CP25"/>
    <mergeCell ref="CQ25:CZ25"/>
    <mergeCell ref="A26:AL26"/>
    <mergeCell ref="AM26:AQ26"/>
    <mergeCell ref="AR26:AV26"/>
    <mergeCell ref="AW26:BA26"/>
    <mergeCell ref="BB26:BF26"/>
    <mergeCell ref="BG26:BL26"/>
    <mergeCell ref="BM26:BT26"/>
    <mergeCell ref="A29:K29"/>
    <mergeCell ref="L29:AL29"/>
    <mergeCell ref="BA33:BF33"/>
    <mergeCell ref="A23:C23"/>
    <mergeCell ref="D23:I23"/>
    <mergeCell ref="J23:X23"/>
    <mergeCell ref="Y23:AD23"/>
    <mergeCell ref="AE23:AL23"/>
    <mergeCell ref="AM23:AQ23"/>
    <mergeCell ref="AR23:AV23"/>
    <mergeCell ref="AW23:BA23"/>
    <mergeCell ref="AW21:BA21"/>
    <mergeCell ref="A22:C22"/>
    <mergeCell ref="D22:I22"/>
    <mergeCell ref="J22:X22"/>
    <mergeCell ref="Y22:AD22"/>
    <mergeCell ref="AE22:AL22"/>
    <mergeCell ref="AM22:AQ22"/>
    <mergeCell ref="AR22:AV22"/>
    <mergeCell ref="AW22:BA22"/>
    <mergeCell ref="A21:C21"/>
    <mergeCell ref="D21:I21"/>
    <mergeCell ref="CQ20:CZ20"/>
    <mergeCell ref="BB20:BF20"/>
    <mergeCell ref="BG20:BL20"/>
    <mergeCell ref="BM20:BT20"/>
    <mergeCell ref="BU20:CD20"/>
    <mergeCell ref="CE20:CH20"/>
    <mergeCell ref="CI20:CP20"/>
    <mergeCell ref="CI23:CP23"/>
    <mergeCell ref="CQ23:CZ23"/>
    <mergeCell ref="BB23:BF23"/>
    <mergeCell ref="BG23:BL23"/>
    <mergeCell ref="BM23:BT23"/>
    <mergeCell ref="BU23:CD23"/>
    <mergeCell ref="CE23:CH23"/>
    <mergeCell ref="BB21:BF21"/>
    <mergeCell ref="BG21:BL21"/>
    <mergeCell ref="BM21:BT21"/>
    <mergeCell ref="BU21:CD21"/>
    <mergeCell ref="CE21:CH21"/>
    <mergeCell ref="CI21:CP21"/>
    <mergeCell ref="CQ21:CZ21"/>
    <mergeCell ref="BB22:BF22"/>
    <mergeCell ref="BG22:BL22"/>
    <mergeCell ref="BM22:BT22"/>
  </mergeCells>
  <pageMargins left="0.19685039370078741" right="0.19685039370078741" top="0.39370078740157483" bottom="0.19685039370078741" header="0.19685039370078741" footer="0.19685039370078741"/>
  <pageSetup paperSize="9" orientation="landscape" r:id="rId1"/>
  <headerFooter alignWithMargins="0">
    <oddFooter>&amp;RСтраница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2515868209</vt:lpstr>
      <vt:lpstr>'2515868209'!Print_Area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POVALYAEVA Vitalina</dc:creator>
  <cp:lastModifiedBy>PAZYCH Maxim</cp:lastModifiedBy>
  <dcterms:created xsi:type="dcterms:W3CDTF">2018-02-27T08:36:21Z</dcterms:created>
  <dcterms:modified xsi:type="dcterms:W3CDTF">2018-03-08T13:12:38Z</dcterms:modified>
</cp:coreProperties>
</file>